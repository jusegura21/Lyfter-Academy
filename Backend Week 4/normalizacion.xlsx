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1" sheetId="1" r:id="rId4"/>
    <sheet state="visible" name="tabla 2" sheetId="2" r:id="rId5"/>
    <sheet state="visible" name="Hoja 2" sheetId="3" r:id="rId6"/>
  </sheets>
  <definedNames/>
  <calcPr/>
</workbook>
</file>

<file path=xl/sharedStrings.xml><?xml version="1.0" encoding="utf-8"?>
<sst xmlns="http://schemas.openxmlformats.org/spreadsheetml/2006/main" count="330" uniqueCount="123">
  <si>
    <t>Order ID</t>
  </si>
  <si>
    <t>Customer Name</t>
  </si>
  <si>
    <t>Customer Phone</t>
  </si>
  <si>
    <t>Address</t>
  </si>
  <si>
    <t>Item ID</t>
  </si>
  <si>
    <t>Item Name</t>
  </si>
  <si>
    <t>Price</t>
  </si>
  <si>
    <t>Quantity</t>
  </si>
  <si>
    <t>Special Request</t>
  </si>
  <si>
    <t>Delivery Time</t>
  </si>
  <si>
    <t>001</t>
  </si>
  <si>
    <t>Alice</t>
  </si>
  <si>
    <t>123-456-7890</t>
  </si>
  <si>
    <t>123 Main St</t>
  </si>
  <si>
    <t>Cheeseburger</t>
  </si>
  <si>
    <t>No onions</t>
  </si>
  <si>
    <t>6:00 PM</t>
  </si>
  <si>
    <t>Fries</t>
  </si>
  <si>
    <t>Extra ketchup</t>
  </si>
  <si>
    <t>002</t>
  </si>
  <si>
    <t>Bob</t>
  </si>
  <si>
    <t>987-654-3210</t>
  </si>
  <si>
    <t>456 Elm St</t>
  </si>
  <si>
    <t>Pizza</t>
  </si>
  <si>
    <t>Extra cheese</t>
  </si>
  <si>
    <t>7:30 PM</t>
  </si>
  <si>
    <t>None</t>
  </si>
  <si>
    <t>003</t>
  </si>
  <si>
    <t>Claire</t>
  </si>
  <si>
    <t>555-123-4567</t>
  </si>
  <si>
    <t>789 Oak St</t>
  </si>
  <si>
    <t>Salad</t>
  </si>
  <si>
    <t>No croutons</t>
  </si>
  <si>
    <t>12:00 PM</t>
  </si>
  <si>
    <t>004</t>
  </si>
  <si>
    <t>464 Georgia St</t>
  </si>
  <si>
    <t>Water</t>
  </si>
  <si>
    <t>5:00 PM</t>
  </si>
  <si>
    <t>1.Primero separe la informacion del cliente en una tabla aparte para eliminar dependencias parciales.</t>
  </si>
  <si>
    <t>customers table</t>
  </si>
  <si>
    <t>Customer ID</t>
  </si>
  <si>
    <t>01</t>
  </si>
  <si>
    <t>02</t>
  </si>
  <si>
    <t>03</t>
  </si>
  <si>
    <t>ta</t>
  </si>
  <si>
    <t>2.Luego separe la informacion del productom tambien para eliminar dependencias parciales</t>
  </si>
  <si>
    <t>item table</t>
  </si>
  <si>
    <t>3.Luego se separa tambien la orden con el customer id y el delivery time ya que son dependencias directas.</t>
  </si>
  <si>
    <t>order details table</t>
  </si>
  <si>
    <t>VIN</t>
  </si>
  <si>
    <t>Make</t>
  </si>
  <si>
    <t>Model</t>
  </si>
  <si>
    <t>Year</t>
  </si>
  <si>
    <t>Color</t>
  </si>
  <si>
    <t>Owner ID</t>
  </si>
  <si>
    <t>Owner Name</t>
  </si>
  <si>
    <t>Owner Phone</t>
  </si>
  <si>
    <t>1HGCM82633A</t>
  </si>
  <si>
    <t>Honda</t>
  </si>
  <si>
    <t>Accord</t>
  </si>
  <si>
    <t>Silver</t>
  </si>
  <si>
    <t>5J6RM4H79EL</t>
  </si>
  <si>
    <t>CR-V</t>
  </si>
  <si>
    <t>Blue</t>
  </si>
  <si>
    <t>1G1RA6EH1FU</t>
  </si>
  <si>
    <t>Chevrolet</t>
  </si>
  <si>
    <t>Volt</t>
  </si>
  <si>
    <t>Red</t>
  </si>
  <si>
    <t>Dave</t>
  </si>
  <si>
    <t>111-222-3333</t>
  </si>
  <si>
    <t xml:space="preserve">1. Primero separamos la informacion de los owners. </t>
  </si>
  <si>
    <t>Insurance Company</t>
  </si>
  <si>
    <t>Insurance Policy</t>
  </si>
  <si>
    <t>ABC Insurance</t>
  </si>
  <si>
    <t>POL12345</t>
  </si>
  <si>
    <t>XYZ Insurance</t>
  </si>
  <si>
    <t>POL54321</t>
  </si>
  <si>
    <t>DEF Insurance</t>
  </si>
  <si>
    <t>POL67890</t>
  </si>
  <si>
    <t>GHI Insurance</t>
  </si>
  <si>
    <t>POL98765</t>
  </si>
  <si>
    <t xml:space="preserve">2. Luego separamos por aparte la informacion de los vehiculos segun su VIN. </t>
  </si>
  <si>
    <t xml:space="preserve">Y asi tenemos 3 tablas, vehiculos, Owners (con info del insurance), y la tabla de relacion de ownership </t>
  </si>
  <si>
    <t>id</t>
  </si>
  <si>
    <t>Codigo</t>
  </si>
  <si>
    <t>Nombre</t>
  </si>
  <si>
    <t>Precio (1k - 250k)</t>
  </si>
  <si>
    <t>Fecha Ingreso</t>
  </si>
  <si>
    <t>Marca</t>
  </si>
  <si>
    <t>user</t>
  </si>
  <si>
    <t># Factura</t>
  </si>
  <si>
    <t>Fecha</t>
  </si>
  <si>
    <t>monto</t>
  </si>
  <si>
    <t>user_id</t>
  </si>
  <si>
    <t>PRD-001</t>
  </si>
  <si>
    <t>Audífonos Bluetooth</t>
  </si>
  <si>
    <t>JBL</t>
  </si>
  <si>
    <t>juan.perez@example.com</t>
  </si>
  <si>
    <t>F-001</t>
  </si>
  <si>
    <t>PRD-002</t>
  </si>
  <si>
    <t>Teclado Mecánico RGB</t>
  </si>
  <si>
    <t>Redragon</t>
  </si>
  <si>
    <t>maria.lopez@example.com</t>
  </si>
  <si>
    <t>F-002</t>
  </si>
  <si>
    <t>PRD-003</t>
  </si>
  <si>
    <t>Monitor 24" Full HD</t>
  </si>
  <si>
    <t>Samsung</t>
  </si>
  <si>
    <t>carlos.gomez@example.com</t>
  </si>
  <si>
    <t>F-003</t>
  </si>
  <si>
    <t>PRD-004</t>
  </si>
  <si>
    <t>Smartwatch Deportivo</t>
  </si>
  <si>
    <t>Amazfit</t>
  </si>
  <si>
    <t>Users table: tabla con data de usuarios. Llamada po</t>
  </si>
  <si>
    <t>PRD-005</t>
  </si>
  <si>
    <t>Disco SSD 1TB NVMe</t>
  </si>
  <si>
    <t>Kingston</t>
  </si>
  <si>
    <t>product_id</t>
  </si>
  <si>
    <t>qty</t>
  </si>
  <si>
    <t xml:space="preserve">Facturas: relacion 1:N con users. </t>
  </si>
  <si>
    <t>Carrito de compras: Tabla cruz  N:N de productos y usuarios</t>
  </si>
  <si>
    <t>Desglose de facturas:  Tabla cruz N:N de facturas con productos</t>
  </si>
  <si>
    <t>factura_id</t>
  </si>
  <si>
    <t>total_amount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</si>
</sst>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5" displayName="Product_Table" name="Product_Table" id="1">
  <tableColumns count="6">
    <tableColumn name="id" id="1"/>
    <tableColumn name="Codigo" id="2"/>
    <tableColumn name="Nombre" id="3"/>
    <tableColumn name="Precio (1k - 250k)" id="4"/>
    <tableColumn name="Fecha Ingreso" id="5"/>
    <tableColumn name="Marca" id="6"/>
  </tableColumns>
  <tableStyleInfo name="Hoja 2-style" showColumnStripes="0" showFirstColumn="1" showLastColumn="1" showRowStripes="1"/>
</table>
</file>

<file path=xl/tables/table2.xml><?xml version="1.0" encoding="utf-8"?>
<table xmlns="http://schemas.openxmlformats.org/spreadsheetml/2006/main" ref="H1:I4" displayName="Users_table" name="Users_table" id="2">
  <tableColumns count="2">
    <tableColumn name="id" id="1"/>
    <tableColumn name="user" id="2"/>
  </tableColumns>
  <tableStyleInfo name="Hoja 2-style 2" showColumnStripes="0" showFirstColumn="1" showLastColumn="1" showRowStripes="1"/>
</table>
</file>

<file path=xl/tables/table3.xml><?xml version="1.0" encoding="utf-8"?>
<table xmlns="http://schemas.openxmlformats.org/spreadsheetml/2006/main" ref="K1:O5" displayName="facturas" name="facturas" id="3">
  <tableColumns count="5">
    <tableColumn name="id" id="1"/>
    <tableColumn name="# Factura" id="2"/>
    <tableColumn name="Fecha" id="3"/>
    <tableColumn name="monto" id="4"/>
    <tableColumn name="user_id" id="5"/>
  </tableColumns>
  <tableStyleInfo name="Hoja 2-style 3" showColumnStripes="0" showFirstColumn="1" showLastColumn="1" showRowStripes="1"/>
</table>
</file>

<file path=xl/tables/table4.xml><?xml version="1.0" encoding="utf-8"?>
<table xmlns="http://schemas.openxmlformats.org/spreadsheetml/2006/main" ref="H7:K10" displayName="carrito_compras" name="carrito_compras" id="4">
  <tableColumns count="4">
    <tableColumn name="id" id="1"/>
    <tableColumn name="product_id" id="2"/>
    <tableColumn name="qty" id="3"/>
    <tableColumn name="user_id" id="4"/>
  </tableColumns>
  <tableStyleInfo name="Hoja 2-style 4" showColumnStripes="0" showFirstColumn="1" showLastColumn="1" showRowStripes="1"/>
</table>
</file>

<file path=xl/tables/table5.xml><?xml version="1.0" encoding="utf-8"?>
<table xmlns="http://schemas.openxmlformats.org/spreadsheetml/2006/main" ref="H12:L15" displayName="desglose_de_facturas" name="desglose_de_facturas" id="5">
  <tableColumns count="5">
    <tableColumn name="id" id="1"/>
    <tableColumn name="factura_id" id="2"/>
    <tableColumn name="product_id" id="3"/>
    <tableColumn name="qty" id="4"/>
    <tableColumn name="total_amount" id="5"/>
  </tableColumns>
  <tableStyleInfo name="Hoja 2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9.38"/>
    <col customWidth="1" min="3" max="3" width="17.0"/>
    <col customWidth="1" min="4" max="4" width="16.38"/>
    <col customWidth="1" min="5" max="5" width="13.88"/>
    <col customWidth="1" min="6" max="6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3">
        <v>101.0</v>
      </c>
      <c r="F2" s="3" t="s">
        <v>14</v>
      </c>
      <c r="G2" s="4">
        <v>8.0</v>
      </c>
      <c r="H2" s="3">
        <v>2.0</v>
      </c>
      <c r="I2" s="3" t="s">
        <v>15</v>
      </c>
      <c r="J2" s="3" t="s">
        <v>16</v>
      </c>
    </row>
    <row r="3">
      <c r="A3" s="2" t="s">
        <v>10</v>
      </c>
      <c r="B3" s="3" t="s">
        <v>11</v>
      </c>
      <c r="C3" s="3" t="s">
        <v>12</v>
      </c>
      <c r="D3" s="3" t="s">
        <v>13</v>
      </c>
      <c r="E3" s="3">
        <v>102.0</v>
      </c>
      <c r="F3" s="3" t="s">
        <v>17</v>
      </c>
      <c r="G3" s="4">
        <v>3.0</v>
      </c>
      <c r="H3" s="3">
        <v>1.0</v>
      </c>
      <c r="I3" s="3" t="s">
        <v>18</v>
      </c>
      <c r="J3" s="3" t="s">
        <v>16</v>
      </c>
    </row>
    <row r="4">
      <c r="A4" s="2" t="s">
        <v>19</v>
      </c>
      <c r="B4" s="3" t="s">
        <v>20</v>
      </c>
      <c r="C4" s="3" t="s">
        <v>21</v>
      </c>
      <c r="D4" s="3" t="s">
        <v>22</v>
      </c>
      <c r="E4" s="3">
        <v>103.0</v>
      </c>
      <c r="F4" s="3" t="s">
        <v>23</v>
      </c>
      <c r="G4" s="4">
        <v>12.0</v>
      </c>
      <c r="H4" s="3">
        <v>1.0</v>
      </c>
      <c r="I4" s="3" t="s">
        <v>24</v>
      </c>
      <c r="J4" s="3" t="s">
        <v>25</v>
      </c>
    </row>
    <row r="5">
      <c r="A5" s="2" t="s">
        <v>19</v>
      </c>
      <c r="B5" s="3" t="s">
        <v>20</v>
      </c>
      <c r="C5" s="3" t="s">
        <v>21</v>
      </c>
      <c r="D5" s="3" t="s">
        <v>22</v>
      </c>
      <c r="E5" s="3">
        <v>104.0</v>
      </c>
      <c r="F5" s="3" t="s">
        <v>17</v>
      </c>
      <c r="G5" s="4">
        <v>2.0</v>
      </c>
      <c r="H5" s="3">
        <v>2.0</v>
      </c>
      <c r="I5" s="3" t="s">
        <v>26</v>
      </c>
      <c r="J5" s="3" t="s">
        <v>25</v>
      </c>
    </row>
    <row r="6">
      <c r="A6" s="2" t="s">
        <v>27</v>
      </c>
      <c r="B6" s="3" t="s">
        <v>28</v>
      </c>
      <c r="C6" s="3" t="s">
        <v>29</v>
      </c>
      <c r="D6" s="3" t="s">
        <v>30</v>
      </c>
      <c r="E6" s="3">
        <v>105.0</v>
      </c>
      <c r="F6" s="3" t="s">
        <v>31</v>
      </c>
      <c r="G6" s="4">
        <v>6.0</v>
      </c>
      <c r="H6" s="3">
        <v>1.0</v>
      </c>
      <c r="I6" s="3" t="s">
        <v>32</v>
      </c>
      <c r="J6" s="3" t="s">
        <v>33</v>
      </c>
    </row>
    <row r="7">
      <c r="A7" s="2" t="s">
        <v>34</v>
      </c>
      <c r="B7" s="3" t="s">
        <v>28</v>
      </c>
      <c r="C7" s="3" t="s">
        <v>29</v>
      </c>
      <c r="D7" s="3" t="s">
        <v>35</v>
      </c>
      <c r="E7" s="3">
        <v>106.0</v>
      </c>
      <c r="F7" s="3" t="s">
        <v>36</v>
      </c>
      <c r="G7" s="4">
        <v>1.0</v>
      </c>
      <c r="H7" s="3">
        <v>1.0</v>
      </c>
      <c r="I7" s="3" t="s">
        <v>26</v>
      </c>
      <c r="J7" s="3" t="s">
        <v>37</v>
      </c>
    </row>
    <row r="8">
      <c r="A8" s="5" t="s">
        <v>38</v>
      </c>
    </row>
    <row r="11">
      <c r="A11" s="6" t="s">
        <v>39</v>
      </c>
    </row>
    <row r="12">
      <c r="A12" s="1" t="s">
        <v>40</v>
      </c>
      <c r="B12" s="1" t="s">
        <v>1</v>
      </c>
      <c r="C12" s="1" t="s">
        <v>2</v>
      </c>
      <c r="D12" s="1" t="s">
        <v>3</v>
      </c>
    </row>
    <row r="13">
      <c r="A13" s="2" t="s">
        <v>41</v>
      </c>
      <c r="B13" s="3" t="s">
        <v>11</v>
      </c>
      <c r="C13" s="3" t="s">
        <v>12</v>
      </c>
      <c r="D13" s="3" t="s">
        <v>13</v>
      </c>
    </row>
    <row r="14">
      <c r="A14" s="2" t="s">
        <v>42</v>
      </c>
      <c r="B14" s="3" t="s">
        <v>20</v>
      </c>
      <c r="C14" s="3" t="s">
        <v>21</v>
      </c>
      <c r="D14" s="3" t="s">
        <v>22</v>
      </c>
    </row>
    <row r="15">
      <c r="A15" s="2" t="s">
        <v>43</v>
      </c>
      <c r="B15" s="3" t="s">
        <v>28</v>
      </c>
      <c r="C15" s="3" t="s">
        <v>29</v>
      </c>
      <c r="D15" s="3" t="s">
        <v>35</v>
      </c>
    </row>
    <row r="16">
      <c r="A16" s="1" t="s">
        <v>0</v>
      </c>
      <c r="B16" s="1" t="s">
        <v>40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</row>
    <row r="17">
      <c r="A17" s="2" t="s">
        <v>10</v>
      </c>
      <c r="B17" s="2" t="s">
        <v>41</v>
      </c>
      <c r="C17" s="3">
        <v>101.0</v>
      </c>
      <c r="D17" s="3" t="s">
        <v>14</v>
      </c>
      <c r="E17" s="4">
        <v>8.0</v>
      </c>
      <c r="F17" s="3">
        <v>2.0</v>
      </c>
      <c r="G17" s="3" t="s">
        <v>15</v>
      </c>
      <c r="H17" s="3" t="s">
        <v>16</v>
      </c>
    </row>
    <row r="18">
      <c r="A18" s="2" t="s">
        <v>10</v>
      </c>
      <c r="B18" s="2" t="s">
        <v>41</v>
      </c>
      <c r="C18" s="3">
        <v>102.0</v>
      </c>
      <c r="D18" s="3" t="s">
        <v>17</v>
      </c>
      <c r="E18" s="4">
        <v>3.0</v>
      </c>
      <c r="F18" s="3">
        <v>1.0</v>
      </c>
      <c r="G18" s="3" t="s">
        <v>18</v>
      </c>
      <c r="H18" s="3" t="s">
        <v>16</v>
      </c>
    </row>
    <row r="19">
      <c r="A19" s="2" t="s">
        <v>19</v>
      </c>
      <c r="B19" s="2" t="s">
        <v>42</v>
      </c>
      <c r="C19" s="3">
        <v>103.0</v>
      </c>
      <c r="D19" s="3" t="s">
        <v>23</v>
      </c>
      <c r="E19" s="4">
        <v>12.0</v>
      </c>
      <c r="F19" s="3">
        <v>1.0</v>
      </c>
      <c r="G19" s="3" t="s">
        <v>24</v>
      </c>
      <c r="H19" s="3" t="s">
        <v>25</v>
      </c>
    </row>
    <row r="20">
      <c r="A20" s="2" t="s">
        <v>19</v>
      </c>
      <c r="B20" s="2" t="s">
        <v>42</v>
      </c>
      <c r="C20" s="3">
        <v>104.0</v>
      </c>
      <c r="D20" s="3" t="s">
        <v>17</v>
      </c>
      <c r="E20" s="4">
        <v>2.0</v>
      </c>
      <c r="F20" s="3">
        <v>2.0</v>
      </c>
      <c r="G20" s="3" t="s">
        <v>44</v>
      </c>
      <c r="H20" s="3" t="s">
        <v>25</v>
      </c>
    </row>
    <row r="21">
      <c r="A21" s="2" t="s">
        <v>27</v>
      </c>
      <c r="B21" s="2" t="s">
        <v>43</v>
      </c>
      <c r="C21" s="3">
        <v>105.0</v>
      </c>
      <c r="D21" s="3" t="s">
        <v>31</v>
      </c>
      <c r="E21" s="4">
        <v>6.0</v>
      </c>
      <c r="F21" s="3">
        <v>1.0</v>
      </c>
      <c r="G21" s="3" t="s">
        <v>32</v>
      </c>
      <c r="H21" s="3" t="s">
        <v>33</v>
      </c>
    </row>
    <row r="22">
      <c r="A22" s="2" t="s">
        <v>34</v>
      </c>
      <c r="B22" s="2" t="s">
        <v>43</v>
      </c>
      <c r="C22" s="3">
        <v>106.0</v>
      </c>
      <c r="D22" s="3" t="s">
        <v>36</v>
      </c>
      <c r="E22" s="4">
        <v>1.0</v>
      </c>
      <c r="F22" s="3">
        <v>1.0</v>
      </c>
      <c r="G22" s="3" t="s">
        <v>26</v>
      </c>
      <c r="H22" s="3" t="s">
        <v>37</v>
      </c>
    </row>
    <row r="23">
      <c r="A23" s="5" t="s">
        <v>45</v>
      </c>
    </row>
    <row r="27">
      <c r="A27" s="6" t="s">
        <v>46</v>
      </c>
    </row>
    <row r="28">
      <c r="A28" s="1" t="s">
        <v>4</v>
      </c>
      <c r="B28" s="1" t="s">
        <v>5</v>
      </c>
      <c r="C28" s="1" t="s">
        <v>6</v>
      </c>
    </row>
    <row r="29">
      <c r="A29" s="3">
        <v>101.0</v>
      </c>
      <c r="B29" s="3" t="s">
        <v>14</v>
      </c>
      <c r="C29" s="4">
        <v>8.0</v>
      </c>
    </row>
    <row r="30">
      <c r="A30" s="3">
        <v>102.0</v>
      </c>
      <c r="B30" s="3" t="s">
        <v>17</v>
      </c>
      <c r="C30" s="4">
        <v>3.0</v>
      </c>
    </row>
    <row r="31">
      <c r="A31" s="3">
        <v>103.0</v>
      </c>
      <c r="B31" s="3" t="s">
        <v>23</v>
      </c>
      <c r="C31" s="4">
        <v>12.0</v>
      </c>
    </row>
    <row r="32">
      <c r="A32" s="3">
        <v>104.0</v>
      </c>
      <c r="B32" s="3" t="s">
        <v>17</v>
      </c>
      <c r="C32" s="4">
        <v>2.0</v>
      </c>
    </row>
    <row r="33">
      <c r="A33" s="3">
        <v>105.0</v>
      </c>
      <c r="B33" s="3" t="s">
        <v>31</v>
      </c>
      <c r="C33" s="4">
        <v>6.0</v>
      </c>
    </row>
    <row r="34">
      <c r="A34" s="3">
        <v>106.0</v>
      </c>
      <c r="B34" s="3" t="s">
        <v>36</v>
      </c>
      <c r="C34" s="4">
        <v>1.0</v>
      </c>
    </row>
    <row r="36">
      <c r="A36" s="1" t="s">
        <v>0</v>
      </c>
      <c r="B36" s="1" t="s">
        <v>40</v>
      </c>
      <c r="C36" s="1" t="s">
        <v>4</v>
      </c>
      <c r="D36" s="1" t="s">
        <v>7</v>
      </c>
      <c r="E36" s="1" t="s">
        <v>8</v>
      </c>
      <c r="F36" s="1" t="s">
        <v>9</v>
      </c>
    </row>
    <row r="37">
      <c r="A37" s="2" t="s">
        <v>10</v>
      </c>
      <c r="B37" s="2" t="s">
        <v>41</v>
      </c>
      <c r="C37" s="3">
        <v>101.0</v>
      </c>
      <c r="D37" s="3">
        <v>2.0</v>
      </c>
      <c r="E37" s="3" t="s">
        <v>15</v>
      </c>
      <c r="F37" s="3" t="s">
        <v>16</v>
      </c>
    </row>
    <row r="38">
      <c r="A38" s="2" t="s">
        <v>10</v>
      </c>
      <c r="B38" s="2" t="s">
        <v>41</v>
      </c>
      <c r="C38" s="3">
        <v>102.0</v>
      </c>
      <c r="D38" s="3">
        <v>1.0</v>
      </c>
      <c r="E38" s="3" t="s">
        <v>18</v>
      </c>
      <c r="F38" s="3" t="s">
        <v>16</v>
      </c>
    </row>
    <row r="39">
      <c r="A39" s="2" t="s">
        <v>19</v>
      </c>
      <c r="B39" s="2" t="s">
        <v>42</v>
      </c>
      <c r="C39" s="3">
        <v>103.0</v>
      </c>
      <c r="D39" s="3">
        <v>1.0</v>
      </c>
      <c r="E39" s="3" t="s">
        <v>24</v>
      </c>
      <c r="F39" s="3" t="s">
        <v>25</v>
      </c>
    </row>
    <row r="40">
      <c r="A40" s="2" t="s">
        <v>19</v>
      </c>
      <c r="B40" s="2" t="s">
        <v>42</v>
      </c>
      <c r="C40" s="3">
        <v>104.0</v>
      </c>
      <c r="D40" s="3">
        <v>2.0</v>
      </c>
      <c r="E40" s="3" t="s">
        <v>26</v>
      </c>
      <c r="F40" s="3" t="s">
        <v>25</v>
      </c>
    </row>
    <row r="41">
      <c r="A41" s="2" t="s">
        <v>27</v>
      </c>
      <c r="B41" s="2" t="s">
        <v>43</v>
      </c>
      <c r="C41" s="3">
        <v>105.0</v>
      </c>
      <c r="D41" s="3">
        <v>1.0</v>
      </c>
      <c r="E41" s="3" t="s">
        <v>32</v>
      </c>
      <c r="F41" s="3" t="s">
        <v>33</v>
      </c>
    </row>
    <row r="42">
      <c r="A42" s="2" t="s">
        <v>34</v>
      </c>
      <c r="B42" s="2" t="s">
        <v>43</v>
      </c>
      <c r="C42" s="3">
        <v>106.0</v>
      </c>
      <c r="D42" s="3">
        <v>1.0</v>
      </c>
      <c r="E42" s="3" t="s">
        <v>26</v>
      </c>
      <c r="F42" s="3" t="s">
        <v>37</v>
      </c>
    </row>
    <row r="43">
      <c r="A43" s="5" t="s">
        <v>47</v>
      </c>
    </row>
    <row r="48">
      <c r="A48" s="1" t="s">
        <v>0</v>
      </c>
      <c r="B48" s="1" t="s">
        <v>40</v>
      </c>
      <c r="C48" s="1" t="s">
        <v>9</v>
      </c>
    </row>
    <row r="49">
      <c r="A49" s="2" t="s">
        <v>10</v>
      </c>
      <c r="B49" s="2" t="s">
        <v>41</v>
      </c>
      <c r="C49" s="3" t="s">
        <v>16</v>
      </c>
    </row>
    <row r="50">
      <c r="A50" s="2" t="s">
        <v>19</v>
      </c>
      <c r="B50" s="2" t="s">
        <v>42</v>
      </c>
      <c r="C50" s="3" t="s">
        <v>25</v>
      </c>
    </row>
    <row r="51">
      <c r="A51" s="2" t="s">
        <v>27</v>
      </c>
      <c r="B51" s="2" t="s">
        <v>43</v>
      </c>
      <c r="C51" s="3" t="s">
        <v>33</v>
      </c>
    </row>
    <row r="52">
      <c r="A52" s="2" t="s">
        <v>34</v>
      </c>
      <c r="B52" s="2" t="s">
        <v>43</v>
      </c>
      <c r="C52" s="3" t="s">
        <v>37</v>
      </c>
    </row>
    <row r="54">
      <c r="A54" s="6" t="s">
        <v>48</v>
      </c>
    </row>
    <row r="55">
      <c r="A55" s="1" t="s">
        <v>0</v>
      </c>
      <c r="B55" s="1" t="s">
        <v>4</v>
      </c>
      <c r="C55" s="1" t="s">
        <v>7</v>
      </c>
      <c r="D55" s="1" t="s">
        <v>8</v>
      </c>
      <c r="F55" s="7"/>
    </row>
    <row r="56">
      <c r="A56" s="2" t="s">
        <v>10</v>
      </c>
      <c r="B56" s="3">
        <v>101.0</v>
      </c>
      <c r="C56" s="3">
        <v>2.0</v>
      </c>
      <c r="D56" s="3" t="s">
        <v>15</v>
      </c>
    </row>
    <row r="57">
      <c r="A57" s="2" t="s">
        <v>10</v>
      </c>
      <c r="B57" s="3">
        <v>102.0</v>
      </c>
      <c r="C57" s="3">
        <v>1.0</v>
      </c>
      <c r="D57" s="3" t="s">
        <v>18</v>
      </c>
    </row>
    <row r="58">
      <c r="A58" s="2" t="s">
        <v>19</v>
      </c>
      <c r="B58" s="3">
        <v>103.0</v>
      </c>
      <c r="C58" s="3">
        <v>1.0</v>
      </c>
      <c r="D58" s="3" t="s">
        <v>24</v>
      </c>
    </row>
    <row r="59">
      <c r="A59" s="2" t="s">
        <v>19</v>
      </c>
      <c r="B59" s="3">
        <v>104.0</v>
      </c>
      <c r="C59" s="3">
        <v>2.0</v>
      </c>
      <c r="D59" s="3" t="s">
        <v>26</v>
      </c>
    </row>
    <row r="60">
      <c r="A60" s="2" t="s">
        <v>27</v>
      </c>
      <c r="B60" s="3">
        <v>105.0</v>
      </c>
      <c r="C60" s="3">
        <v>1.0</v>
      </c>
      <c r="D60" s="3" t="s">
        <v>32</v>
      </c>
    </row>
    <row r="61">
      <c r="A61" s="2" t="s">
        <v>34</v>
      </c>
      <c r="B61" s="3">
        <v>106.0</v>
      </c>
      <c r="C61" s="3">
        <v>1.0</v>
      </c>
      <c r="D61" s="3" t="s">
        <v>26</v>
      </c>
    </row>
  </sheetData>
  <mergeCells count="3">
    <mergeCell ref="A8:E10"/>
    <mergeCell ref="A23:E26"/>
    <mergeCell ref="A43:E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16.63"/>
    <col customWidth="1" min="4" max="5" width="16.88"/>
    <col customWidth="1" min="7" max="7" width="18.5"/>
    <col customWidth="1" min="8" max="8" width="28.88"/>
    <col customWidth="1" min="9" max="9" width="22.5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>
      <c r="A2" s="3" t="s">
        <v>57</v>
      </c>
      <c r="B2" s="3" t="s">
        <v>58</v>
      </c>
      <c r="C2" s="3" t="s">
        <v>59</v>
      </c>
      <c r="D2" s="3">
        <v>2003.0</v>
      </c>
      <c r="E2" s="3" t="s">
        <v>60</v>
      </c>
      <c r="F2" s="3">
        <v>101.0</v>
      </c>
      <c r="G2" s="3" t="s">
        <v>11</v>
      </c>
      <c r="H2" s="3" t="s">
        <v>12</v>
      </c>
    </row>
    <row r="3">
      <c r="A3" s="3" t="s">
        <v>57</v>
      </c>
      <c r="B3" s="3" t="s">
        <v>58</v>
      </c>
      <c r="C3" s="3" t="s">
        <v>59</v>
      </c>
      <c r="D3" s="3">
        <v>2003.0</v>
      </c>
      <c r="E3" s="3" t="s">
        <v>60</v>
      </c>
      <c r="F3" s="3">
        <v>102.0</v>
      </c>
      <c r="G3" s="3" t="s">
        <v>20</v>
      </c>
      <c r="H3" s="3" t="s">
        <v>21</v>
      </c>
    </row>
    <row r="4">
      <c r="A4" s="3" t="s">
        <v>61</v>
      </c>
      <c r="B4" s="3" t="s">
        <v>58</v>
      </c>
      <c r="C4" s="3" t="s">
        <v>62</v>
      </c>
      <c r="D4" s="3">
        <v>2014.0</v>
      </c>
      <c r="E4" s="3" t="s">
        <v>63</v>
      </c>
      <c r="F4" s="3">
        <v>103.0</v>
      </c>
      <c r="G4" s="3" t="s">
        <v>28</v>
      </c>
      <c r="H4" s="3" t="s">
        <v>29</v>
      </c>
    </row>
    <row r="5">
      <c r="A5" s="3" t="s">
        <v>64</v>
      </c>
      <c r="B5" s="3" t="s">
        <v>65</v>
      </c>
      <c r="C5" s="3" t="s">
        <v>66</v>
      </c>
      <c r="D5" s="3">
        <v>2015.0</v>
      </c>
      <c r="E5" s="3" t="s">
        <v>67</v>
      </c>
      <c r="F5" s="3">
        <v>104.0</v>
      </c>
      <c r="G5" s="3" t="s">
        <v>68</v>
      </c>
      <c r="H5" s="3" t="s">
        <v>69</v>
      </c>
    </row>
    <row r="7">
      <c r="A7" s="5" t="s">
        <v>70</v>
      </c>
    </row>
    <row r="10">
      <c r="A10" s="1" t="s">
        <v>54</v>
      </c>
      <c r="B10" s="1" t="s">
        <v>55</v>
      </c>
      <c r="C10" s="1" t="s">
        <v>56</v>
      </c>
      <c r="D10" s="1" t="s">
        <v>71</v>
      </c>
      <c r="E10" s="1" t="s">
        <v>72</v>
      </c>
    </row>
    <row r="11">
      <c r="A11" s="3">
        <v>101.0</v>
      </c>
      <c r="B11" s="3" t="s">
        <v>11</v>
      </c>
      <c r="C11" s="3" t="s">
        <v>12</v>
      </c>
      <c r="D11" s="3" t="s">
        <v>73</v>
      </c>
      <c r="E11" s="3" t="s">
        <v>74</v>
      </c>
    </row>
    <row r="12">
      <c r="A12" s="3">
        <v>102.0</v>
      </c>
      <c r="B12" s="3" t="s">
        <v>20</v>
      </c>
      <c r="C12" s="3" t="s">
        <v>21</v>
      </c>
      <c r="D12" s="3" t="s">
        <v>75</v>
      </c>
      <c r="E12" s="3" t="s">
        <v>76</v>
      </c>
    </row>
    <row r="13">
      <c r="A13" s="3">
        <v>103.0</v>
      </c>
      <c r="B13" s="3" t="s">
        <v>28</v>
      </c>
      <c r="C13" s="3" t="s">
        <v>29</v>
      </c>
      <c r="D13" s="3" t="s">
        <v>77</v>
      </c>
      <c r="E13" s="3" t="s">
        <v>78</v>
      </c>
    </row>
    <row r="14">
      <c r="A14" s="3">
        <v>104.0</v>
      </c>
      <c r="B14" s="3" t="s">
        <v>68</v>
      </c>
      <c r="C14" s="3" t="s">
        <v>69</v>
      </c>
      <c r="D14" s="3" t="s">
        <v>79</v>
      </c>
      <c r="E14" s="3" t="s">
        <v>80</v>
      </c>
    </row>
    <row r="16">
      <c r="A16" s="1" t="s">
        <v>49</v>
      </c>
      <c r="B16" s="1" t="s">
        <v>50</v>
      </c>
      <c r="C16" s="1" t="s">
        <v>51</v>
      </c>
      <c r="D16" s="1" t="s">
        <v>52</v>
      </c>
      <c r="E16" s="1" t="s">
        <v>53</v>
      </c>
      <c r="F16" s="1" t="s">
        <v>54</v>
      </c>
      <c r="G16" s="7"/>
      <c r="H16" s="7"/>
    </row>
    <row r="17">
      <c r="A17" s="3" t="s">
        <v>57</v>
      </c>
      <c r="B17" s="3" t="s">
        <v>58</v>
      </c>
      <c r="C17" s="3" t="s">
        <v>59</v>
      </c>
      <c r="D17" s="3">
        <v>2003.0</v>
      </c>
      <c r="E17" s="3" t="s">
        <v>60</v>
      </c>
      <c r="F17" s="3">
        <v>101.0</v>
      </c>
    </row>
    <row r="18">
      <c r="A18" s="3" t="s">
        <v>57</v>
      </c>
      <c r="B18" s="3" t="s">
        <v>58</v>
      </c>
      <c r="C18" s="3" t="s">
        <v>59</v>
      </c>
      <c r="D18" s="3">
        <v>2003.0</v>
      </c>
      <c r="E18" s="3" t="s">
        <v>60</v>
      </c>
      <c r="F18" s="3">
        <v>102.0</v>
      </c>
    </row>
    <row r="19">
      <c r="A19" s="3" t="s">
        <v>61</v>
      </c>
      <c r="B19" s="3" t="s">
        <v>58</v>
      </c>
      <c r="C19" s="3" t="s">
        <v>62</v>
      </c>
      <c r="D19" s="3">
        <v>2014.0</v>
      </c>
      <c r="E19" s="3" t="s">
        <v>63</v>
      </c>
      <c r="F19" s="3">
        <v>103.0</v>
      </c>
    </row>
    <row r="20">
      <c r="A20" s="3" t="s">
        <v>64</v>
      </c>
      <c r="B20" s="3" t="s">
        <v>65</v>
      </c>
      <c r="C20" s="3" t="s">
        <v>66</v>
      </c>
      <c r="D20" s="3">
        <v>2015.0</v>
      </c>
      <c r="E20" s="3" t="s">
        <v>67</v>
      </c>
      <c r="F20" s="3">
        <v>104.0</v>
      </c>
    </row>
    <row r="22">
      <c r="A22" s="5" t="s">
        <v>81</v>
      </c>
    </row>
    <row r="25">
      <c r="A25" s="7" t="s">
        <v>49</v>
      </c>
      <c r="B25" s="7" t="s">
        <v>50</v>
      </c>
      <c r="C25" s="7" t="s">
        <v>51</v>
      </c>
      <c r="D25" s="7" t="s">
        <v>52</v>
      </c>
      <c r="E25" s="7" t="s">
        <v>53</v>
      </c>
    </row>
    <row r="26">
      <c r="A26" s="5" t="s">
        <v>57</v>
      </c>
      <c r="B26" s="5" t="s">
        <v>58</v>
      </c>
      <c r="C26" s="5" t="s">
        <v>59</v>
      </c>
      <c r="D26" s="5">
        <v>2003.0</v>
      </c>
      <c r="E26" s="5" t="s">
        <v>60</v>
      </c>
    </row>
    <row r="27">
      <c r="A27" s="5" t="s">
        <v>61</v>
      </c>
      <c r="B27" s="5" t="s">
        <v>58</v>
      </c>
      <c r="C27" s="5" t="s">
        <v>62</v>
      </c>
      <c r="D27" s="5">
        <v>2014.0</v>
      </c>
      <c r="E27" s="5" t="s">
        <v>63</v>
      </c>
    </row>
    <row r="28">
      <c r="A28" s="5" t="s">
        <v>64</v>
      </c>
      <c r="B28" s="5" t="s">
        <v>65</v>
      </c>
      <c r="C28" s="5" t="s">
        <v>66</v>
      </c>
      <c r="D28" s="5">
        <v>2015.0</v>
      </c>
      <c r="E28" s="5" t="s">
        <v>67</v>
      </c>
    </row>
    <row r="31">
      <c r="A31" s="1" t="s">
        <v>49</v>
      </c>
      <c r="B31" s="1" t="s">
        <v>54</v>
      </c>
      <c r="C31" s="7"/>
      <c r="D31" s="7"/>
    </row>
    <row r="32">
      <c r="A32" s="3" t="s">
        <v>57</v>
      </c>
      <c r="B32" s="3">
        <v>101.0</v>
      </c>
    </row>
    <row r="33">
      <c r="A33" s="3" t="s">
        <v>57</v>
      </c>
      <c r="B33" s="3">
        <v>102.0</v>
      </c>
    </row>
    <row r="34">
      <c r="A34" s="3" t="s">
        <v>61</v>
      </c>
      <c r="B34" s="3">
        <v>103.0</v>
      </c>
    </row>
    <row r="35">
      <c r="A35" s="3" t="s">
        <v>64</v>
      </c>
      <c r="B35" s="3">
        <v>104.0</v>
      </c>
    </row>
    <row r="37">
      <c r="A37" s="5" t="s">
        <v>82</v>
      </c>
    </row>
    <row r="41">
      <c r="A41" s="6"/>
      <c r="B41" s="7"/>
      <c r="C41" s="7"/>
    </row>
    <row r="47">
      <c r="A47" s="7"/>
      <c r="B47" s="7"/>
    </row>
  </sheetData>
  <mergeCells count="3">
    <mergeCell ref="A7:E9"/>
    <mergeCell ref="A22:E24"/>
    <mergeCell ref="A37:E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0.75"/>
    <col customWidth="1" min="3" max="3" width="19.38"/>
    <col customWidth="1" min="4" max="4" width="18.5"/>
    <col customWidth="1" min="5" max="5" width="16.0"/>
    <col customWidth="1" min="6" max="6" width="10.25"/>
    <col customWidth="1" min="9" max="9" width="23.88"/>
  </cols>
  <sheetData>
    <row r="1" ht="22.5" customHeight="1">
      <c r="A1" s="8" t="s">
        <v>83</v>
      </c>
      <c r="B1" s="8" t="s">
        <v>84</v>
      </c>
      <c r="C1" s="8" t="s">
        <v>85</v>
      </c>
      <c r="D1" s="8" t="s">
        <v>86</v>
      </c>
      <c r="E1" s="8" t="s">
        <v>87</v>
      </c>
      <c r="F1" s="8" t="s">
        <v>88</v>
      </c>
      <c r="H1" s="9" t="s">
        <v>83</v>
      </c>
      <c r="I1" s="9" t="s">
        <v>89</v>
      </c>
      <c r="K1" s="9" t="s">
        <v>83</v>
      </c>
      <c r="L1" s="9" t="s">
        <v>90</v>
      </c>
      <c r="M1" s="9" t="s">
        <v>91</v>
      </c>
      <c r="N1" s="9" t="s">
        <v>92</v>
      </c>
      <c r="O1" s="9" t="s">
        <v>93</v>
      </c>
    </row>
    <row r="2" ht="22.5" customHeight="1">
      <c r="A2" s="10">
        <v>1.0</v>
      </c>
      <c r="B2" s="10" t="s">
        <v>94</v>
      </c>
      <c r="C2" s="10" t="s">
        <v>95</v>
      </c>
      <c r="D2" s="11">
        <v>32500.0</v>
      </c>
      <c r="E2" s="12">
        <v>45912.0</v>
      </c>
      <c r="F2" s="10" t="s">
        <v>96</v>
      </c>
      <c r="H2" s="10">
        <v>1.0</v>
      </c>
      <c r="I2" s="10" t="s">
        <v>97</v>
      </c>
      <c r="K2" s="10">
        <v>1.0</v>
      </c>
      <c r="L2" s="10" t="s">
        <v>98</v>
      </c>
      <c r="M2" s="12">
        <v>45930.0</v>
      </c>
      <c r="N2" s="11">
        <v>58900.0</v>
      </c>
      <c r="O2" s="10">
        <v>2.0</v>
      </c>
    </row>
    <row r="3" ht="22.5" customHeight="1">
      <c r="A3" s="10">
        <v>2.0</v>
      </c>
      <c r="B3" s="10" t="s">
        <v>99</v>
      </c>
      <c r="C3" s="10" t="s">
        <v>100</v>
      </c>
      <c r="D3" s="11">
        <v>58900.0</v>
      </c>
      <c r="E3" s="12">
        <v>45896.0</v>
      </c>
      <c r="F3" s="10" t="s">
        <v>101</v>
      </c>
      <c r="H3" s="10">
        <v>2.0</v>
      </c>
      <c r="I3" s="10" t="s">
        <v>102</v>
      </c>
      <c r="K3" s="10">
        <v>2.0</v>
      </c>
      <c r="L3" s="10" t="s">
        <v>103</v>
      </c>
      <c r="M3" s="12">
        <v>45932.0</v>
      </c>
      <c r="N3" s="11">
        <v>149000.0</v>
      </c>
      <c r="O3" s="10">
        <v>3.0</v>
      </c>
    </row>
    <row r="4" ht="22.5" customHeight="1">
      <c r="A4" s="10">
        <v>3.0</v>
      </c>
      <c r="B4" s="10" t="s">
        <v>104</v>
      </c>
      <c r="C4" s="10" t="s">
        <v>105</v>
      </c>
      <c r="D4" s="11">
        <v>149000.0</v>
      </c>
      <c r="E4" s="12">
        <v>45853.0</v>
      </c>
      <c r="F4" s="10" t="s">
        <v>106</v>
      </c>
      <c r="H4" s="10">
        <v>3.0</v>
      </c>
      <c r="I4" s="10" t="s">
        <v>107</v>
      </c>
      <c r="K4" s="10">
        <v>3.0</v>
      </c>
      <c r="L4" s="10" t="s">
        <v>108</v>
      </c>
      <c r="M4" s="12">
        <v>45935.0</v>
      </c>
      <c r="N4" s="11">
        <v>32500.0</v>
      </c>
      <c r="O4" s="10">
        <v>1.0</v>
      </c>
    </row>
    <row r="5" ht="22.5" customHeight="1">
      <c r="A5" s="10">
        <v>4.0</v>
      </c>
      <c r="B5" s="10" t="s">
        <v>109</v>
      </c>
      <c r="C5" s="10" t="s">
        <v>110</v>
      </c>
      <c r="D5" s="11">
        <v>89500.0</v>
      </c>
      <c r="E5" s="12">
        <v>45931.0</v>
      </c>
      <c r="F5" s="10" t="s">
        <v>111</v>
      </c>
      <c r="K5" s="13"/>
      <c r="L5" s="13"/>
      <c r="M5" s="13" t="s">
        <v>112</v>
      </c>
      <c r="N5" s="14"/>
      <c r="O5" s="13"/>
    </row>
    <row r="6" ht="22.5" customHeight="1">
      <c r="A6" s="10">
        <v>5.0</v>
      </c>
      <c r="B6" s="10" t="s">
        <v>113</v>
      </c>
      <c r="C6" s="10" t="s">
        <v>114</v>
      </c>
      <c r="D6" s="11">
        <v>245000.0</v>
      </c>
      <c r="E6" s="12">
        <v>45929.0</v>
      </c>
      <c r="F6" s="10" t="s">
        <v>115</v>
      </c>
    </row>
    <row r="7" ht="22.5" customHeight="1">
      <c r="H7" s="9" t="s">
        <v>83</v>
      </c>
      <c r="I7" s="9" t="s">
        <v>116</v>
      </c>
      <c r="J7" s="9" t="s">
        <v>117</v>
      </c>
      <c r="K7" s="9" t="s">
        <v>93</v>
      </c>
      <c r="M7" s="6" t="s">
        <v>118</v>
      </c>
      <c r="N7" s="15"/>
      <c r="O7" s="15"/>
      <c r="P7" s="15"/>
    </row>
    <row r="8" ht="22.5" customHeight="1">
      <c r="A8" s="16"/>
      <c r="B8" s="16"/>
      <c r="C8" s="16"/>
      <c r="D8" s="16"/>
      <c r="E8" s="16"/>
      <c r="F8" s="16"/>
      <c r="H8" s="10">
        <v>1.0</v>
      </c>
      <c r="I8" s="10">
        <v>1.0</v>
      </c>
      <c r="J8" s="10">
        <v>3.0</v>
      </c>
      <c r="K8" s="10">
        <v>1.0</v>
      </c>
      <c r="M8" s="6" t="s">
        <v>119</v>
      </c>
      <c r="N8" s="15"/>
      <c r="O8" s="15"/>
      <c r="P8" s="15"/>
    </row>
    <row r="9" ht="22.5" customHeight="1">
      <c r="A9" s="16"/>
      <c r="B9" s="16"/>
      <c r="C9" s="16"/>
      <c r="D9" s="16"/>
      <c r="E9" s="16"/>
      <c r="F9" s="16"/>
      <c r="H9" s="10">
        <v>2.0</v>
      </c>
      <c r="I9" s="10">
        <v>2.0</v>
      </c>
      <c r="J9" s="10">
        <v>1.0</v>
      </c>
      <c r="K9" s="10">
        <v>1.0</v>
      </c>
      <c r="M9" s="6" t="s">
        <v>120</v>
      </c>
      <c r="N9" s="15"/>
      <c r="O9" s="15"/>
      <c r="P9" s="15"/>
    </row>
    <row r="10" ht="22.5" customHeight="1">
      <c r="A10" s="16"/>
      <c r="B10" s="16"/>
      <c r="C10" s="16"/>
      <c r="D10" s="16"/>
      <c r="E10" s="16"/>
      <c r="F10" s="16"/>
      <c r="H10" s="10">
        <v>3.0</v>
      </c>
      <c r="I10" s="10">
        <v>5.0</v>
      </c>
      <c r="J10" s="10">
        <v>1.0</v>
      </c>
      <c r="K10" s="10">
        <v>2.0</v>
      </c>
    </row>
    <row r="11" ht="22.5" customHeight="1">
      <c r="A11" s="16"/>
      <c r="B11" s="16"/>
      <c r="C11" s="16"/>
      <c r="D11" s="16"/>
      <c r="E11" s="16"/>
      <c r="F11" s="16"/>
    </row>
    <row r="12" ht="22.5" customHeight="1">
      <c r="A12" s="16"/>
      <c r="B12" s="16"/>
      <c r="C12" s="16"/>
      <c r="D12" s="16"/>
      <c r="E12" s="16"/>
      <c r="F12" s="16"/>
      <c r="H12" s="9" t="s">
        <v>83</v>
      </c>
      <c r="I12" s="9" t="s">
        <v>121</v>
      </c>
      <c r="J12" s="9" t="s">
        <v>116</v>
      </c>
      <c r="K12" s="9" t="s">
        <v>117</v>
      </c>
      <c r="L12" s="9" t="s">
        <v>122</v>
      </c>
    </row>
    <row r="13" ht="22.5" customHeight="1">
      <c r="A13" s="16"/>
      <c r="B13" s="16"/>
      <c r="C13" s="16"/>
      <c r="D13" s="16"/>
      <c r="E13" s="16"/>
      <c r="F13" s="16"/>
      <c r="H13" s="10">
        <v>1.0</v>
      </c>
      <c r="I13" s="10">
        <v>1.0</v>
      </c>
      <c r="J13" s="10">
        <v>2.0</v>
      </c>
      <c r="K13" s="10">
        <v>2.0</v>
      </c>
      <c r="L13" s="17">
        <f t="shared" ref="L13:L14" si="1">D3*K13</f>
        <v>117800</v>
      </c>
    </row>
    <row r="14" ht="22.5" customHeight="1">
      <c r="A14" s="16"/>
      <c r="B14" s="16"/>
      <c r="C14" s="16"/>
      <c r="D14" s="16"/>
      <c r="E14" s="16"/>
      <c r="F14" s="16"/>
      <c r="H14" s="10">
        <v>2.0</v>
      </c>
      <c r="I14" s="10">
        <v>1.0</v>
      </c>
      <c r="J14" s="10">
        <v>3.0</v>
      </c>
      <c r="K14" s="10">
        <v>1.0</v>
      </c>
      <c r="L14" s="17">
        <f t="shared" si="1"/>
        <v>149000</v>
      </c>
    </row>
    <row r="15" ht="22.5" customHeight="1">
      <c r="A15" s="16"/>
      <c r="B15" s="16"/>
      <c r="C15" s="16"/>
      <c r="D15" s="16"/>
      <c r="E15" s="16"/>
      <c r="F15" s="16"/>
      <c r="H15" s="10">
        <v>3.0</v>
      </c>
      <c r="I15" s="10">
        <v>1.0</v>
      </c>
      <c r="J15" s="10">
        <v>5.0</v>
      </c>
      <c r="K15" s="10">
        <v>1.0</v>
      </c>
      <c r="L15" s="17">
        <f>D6*K15</f>
        <v>245000</v>
      </c>
    </row>
  </sheetData>
  <drawing r:id="rId1"/>
  <tableParts count="5">
    <tablePart r:id="rId7"/>
    <tablePart r:id="rId8"/>
    <tablePart r:id="rId9"/>
    <tablePart r:id="rId10"/>
    <tablePart r:id="rId11"/>
  </tableParts>
</worksheet>
</file>